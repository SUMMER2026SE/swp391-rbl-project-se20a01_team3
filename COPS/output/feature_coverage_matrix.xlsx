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862abd60c43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 Matrix" sheetId="1" r:id="R25ebace2c1e744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7F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F4CCCC"/>
      </x:patternFill>
    </x:fill>
    <x:fill>
      <x:patternFill patternType="solid">
        <x:fgColor rgb="FFFCE8E6"/>
      </x:patternFill>
    </x:fill>
  </x:fills>
  <x:borders count="3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83F04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2d8a8c108a4430" /><Relationship Type="http://schemas.openxmlformats.org/officeDocument/2006/relationships/theme" Target="/xl/theme/theme1.xml" Id="R77736c88afbf4386" /><Relationship Type="http://schemas.openxmlformats.org/officeDocument/2006/relationships/sharedStrings" Target="/xl/sharedStrings.xml" Id="Re8dbd05796dd414b" /><Relationship Type="http://schemas.openxmlformats.org/officeDocument/2006/relationships/worksheet" Target="/xl/worksheets/sheet1.xml" Id="R25ebace2c1e744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24" hidden="0" customWidth="1"/>
    <x:col min="4" max="4" width="18" hidden="0" customWidth="1"/>
    <x:col min="5" max="5" width="35" hidden="0" customWidth="1"/>
    <x:col min="6" max="6" width="14" hidden="0" customWidth="1"/>
    <x:col min="7" max="7" width="16" hidden="0" customWidth="1"/>
    <x:col min="8" max="8" width="18" hidden="0" customWidth="1"/>
    <x:col min="9" max="9" width="55" hidden="0" customWidth="1"/>
  </x:cols>
  <x:sheetData>
    <x:row r="1" ht="30" customHeight="1">
      <x:c r="A1" s="4" t="str">
        <x:v>BEE ACADEMY - FEATURE COVERAGE MATRIX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4" t="str">
        <x:v>Tổng REQ</x:v>
      </x:c>
      <x:c r="B2" s="14" t="n">
        <x:f>COUNTA(A5:A48)</x:f>
        <x:v>44</x:v>
      </x:c>
      <x:c r="C2" s="14" t="str">
        <x:v>Passed</x:v>
      </x:c>
      <x:c r="D2" s="14" t="n">
        <x:f>COUNTIF(H5:H48,"PASSED")</x:f>
        <x:v>8</x:v>
      </x:c>
      <x:c r="E2" s="14" t="str">
        <x:v>Partial</x:v>
      </x:c>
      <x:c r="F2" s="14" t="n">
        <x:f>COUNTIF(H5:H48,"PARTIAL")</x:f>
        <x:v>15</x:v>
      </x:c>
      <x:c r="G2" s="14" t="str">
        <x:v>Blocked</x:v>
      </x:c>
      <x:c r="H2" s="14" t="n">
        <x:f>COUNTIF(H5:H48,"BLOCKED")</x:f>
        <x:v>19</x:v>
      </x:c>
    </x:row>
    <x:row r="3">
      <x:c r="A3" s="14" t="str">
        <x:v>Failed</x:v>
      </x:c>
      <x:c r="B3" s="14" t="n">
        <x:f>COUNTIF(H5:H48,"FAILED")</x:f>
        <x:v>2</x:v>
      </x:c>
      <x:c r="C3" s="14"/>
      <x:c r="D3" s="14"/>
      <x:c r="E3" s="14"/>
      <x:c r="F3" s="14"/>
      <x:c r="G3" s="14"/>
      <x:c r="H3" s="14"/>
    </x:row>
    <x:row r="4" ht="15" hidden="0" customHeight="1">
      <x:c r="A4" s="9" t="str">
        <x:v>REQ ID</x:v>
      </x:c>
      <x:c r="B4" s="9" t="str">
        <x:v>Tên chức năng</x:v>
      </x:c>
      <x:c r="C4" s="9" t="str">
        <x:v>Module</x:v>
      </x:c>
      <x:c r="D4" s="9" t="str">
        <x:v>Actor</x:v>
      </x:c>
      <x:c r="E4" s="9" t="str">
        <x:v>UI route dự kiến</x:v>
      </x:c>
      <x:c r="F4" s="9" t="str">
        <x:v>Đã triển khai</x:v>
      </x:c>
      <x:c r="G4" s="9" t="str">
        <x:v>Có thể kiểm thử</x:v>
      </x:c>
      <x:c r="H4" s="9" t="str">
        <x:v>Trạng thái tài liệu</x:v>
      </x:c>
      <x:c r="I4" s="9" t="str">
        <x:v>Ghi chú</x:v>
      </x:c>
    </x:row>
    <x:row r="5" ht="26.399999618530273" hidden="0" customHeight="1">
      <x:c r="A5" s="12" t="str">
        <x:v>REQ-AUTH-001</x:v>
      </x:c>
      <x:c r="B5" s="12" t="str">
        <x:v>Đăng ký tài khoản</x:v>
      </x:c>
      <x:c r="C5" s="12" t="str">
        <x:v>Authentication &amp; Account</x:v>
      </x:c>
      <x:c r="D5" s="12" t="str">
        <x:v>Guest</x:v>
      </x:c>
      <x:c r="E5" s="12" t="str">
        <x:v>/register</x:v>
      </x:c>
      <x:c r="F5" s="12" t="str">
        <x:v>Có</x:v>
      </x:c>
      <x:c r="G5" s="12" t="str">
        <x:v>Một phần</x:v>
      </x:c>
      <x:c r="H5" s="12" t="str">
        <x:v>PARTIAL</x:v>
      </x:c>
      <x:c r="I5" s="12" t="str">
        <x:v>Biểu mẫu đăng ký mở được; không tạo tài khoản hoặc gửi OTP/email thật trong phiên kiểm thử.</x:v>
      </x:c>
    </x:row>
    <x:row r="6" ht="26.399999618530273" hidden="0" customHeight="1">
      <x:c r="A6" s="12" t="str">
        <x:v>REQ-AUTH-002</x:v>
      </x:c>
      <x:c r="B6" s="12" t="str">
        <x:v>Đăng nhập hệ thống</x:v>
      </x:c>
      <x:c r="C6" s="12" t="str">
        <x:v>Authentication &amp; Account</x:v>
      </x:c>
      <x:c r="D6" s="12" t="str">
        <x:v>User</x:v>
      </x:c>
      <x:c r="E6" s="12" t="str">
        <x:v>/login</x:v>
      </x:c>
      <x:c r="F6" s="12" t="str">
        <x:v>Có</x:v>
      </x:c>
      <x:c r="G6" s="12" t="str">
        <x:v>Có</x:v>
      </x:c>
      <x:c r="H6" s="12" t="str">
        <x:v>PASSED</x:v>
      </x:c>
      <x:c r="I6" s="12" t="str">
        <x:v>Đăng nhập thành công bằng cả 4 tài khoản Student, Parent, Teacher và Admin; điều hướng đúng dashboard theo vai trò.</x:v>
      </x:c>
    </x:row>
    <x:row r="7" ht="26.399999618530273" hidden="0" customHeight="1">
      <x:c r="A7" s="12" t="str">
        <x:v>REQ-AUTH-003</x:v>
      </x:c>
      <x:c r="B7" s="12" t="str">
        <x:v>Đăng xuất hệ thống</x:v>
      </x:c>
      <x:c r="C7" s="12" t="str">
        <x:v>Authentication &amp; Account</x:v>
      </x:c>
      <x:c r="D7" s="12" t="str">
        <x:v>User</x:v>
      </x:c>
      <x:c r="E7" s="12" t="str">
        <x:v>Header / Sidebar</x:v>
      </x:c>
      <x:c r="F7" s="12" t="str">
        <x:v>Có</x:v>
      </x:c>
      <x:c r="G7" s="12" t="str">
        <x:v>Có</x:v>
      </x:c>
      <x:c r="H7" s="12" t="str">
        <x:v>FAILED</x:v>
      </x:c>
      <x:c r="I7" s="12" t="str">
        <x:v>Đăng xuất hoạt động ở một số màn hình nhưng không phản hồi trên trang con Giáo viên và Admin; lỗi tái hiện sau hai lần bấm.</x:v>
      </x:c>
    </x:row>
    <x:row r="8" ht="26.399999618530273" hidden="0" customHeight="1">
      <x:c r="A8" s="12" t="str">
        <x:v>REQ-AUTH-004</x:v>
      </x:c>
      <x:c r="B8" s="12" t="str">
        <x:v>Quên mật khẩu</x:v>
      </x:c>
      <x:c r="C8" s="12" t="str">
        <x:v>Authentication &amp; Account</x:v>
      </x:c>
      <x:c r="D8" s="12" t="str">
        <x:v>User</x:v>
      </x:c>
      <x:c r="E8" s="12" t="str">
        <x:v>/forgot-password</x:v>
      </x:c>
      <x:c r="F8" s="12" t="str">
        <x:v>Có</x:v>
      </x:c>
      <x:c r="G8" s="12" t="str">
        <x:v>Một phần</x:v>
      </x:c>
      <x:c r="H8" s="12" t="str">
        <x:v>PARTIAL</x:v>
      </x:c>
      <x:c r="I8" s="12" t="str">
        <x:v>Biểu mẫu quên mật khẩu mở được; không gửi OTP/email thật nên chưa xác minh bước hoàn tất.</x:v>
      </x:c>
    </x:row>
    <x:row r="9" ht="26.399999618530273" hidden="0" customHeight="1">
      <x:c r="A9" s="12" t="str">
        <x:v>REQ-AUTH-005</x:v>
      </x:c>
      <x:c r="B9" s="12" t="str">
        <x:v>Cập nhật hồ sơ cá nhân</x:v>
      </x:c>
      <x:c r="C9" s="12" t="str">
        <x:v>Authentication &amp; Account</x:v>
      </x:c>
      <x:c r="D9" s="12" t="str">
        <x:v>User</x:v>
      </x:c>
      <x:c r="E9" s="12" t="str">
        <x:v>/student/profile; /teacher/profile</x:v>
      </x:c>
      <x:c r="F9" s="12" t="str">
        <x:v>Có</x:v>
      </x:c>
      <x:c r="G9" s="12" t="str">
        <x:v>Một phần</x:v>
      </x:c>
      <x:c r="H9" s="12" t="str">
        <x:v>PARTIAL</x:v>
      </x:c>
      <x:c r="I9" s="12" t="str">
        <x:v>Màn hình hồ sơ Student và Teacher cùng nút Lưu hiển thị; không ghi thay đổi dữ liệu trong phiên kiểm thử.</x:v>
      </x:c>
    </x:row>
    <x:row r="10" ht="15" hidden="0" customHeight="1">
      <x:c r="A10" s="12" t="str">
        <x:v>REQ-CRS-001</x:v>
      </x:c>
      <x:c r="B10" s="12" t="str">
        <x:v>Tìm kiếm khóa học</x:v>
      </x:c>
      <x:c r="C10" s="12" t="str">
        <x:v>Search &amp; Course</x:v>
      </x:c>
      <x:c r="D10" s="12" t="str">
        <x:v>Guest/Student</x:v>
      </x:c>
      <x:c r="E10" s="12" t="str">
        <x:v>/courses</x:v>
      </x:c>
      <x:c r="F10" s="12" t="str">
        <x:v>Có</x:v>
      </x:c>
      <x:c r="G10" s="12" t="str">
        <x:v>Có</x:v>
      </x:c>
      <x:c r="H10" s="12" t="str">
        <x:v>PASSED</x:v>
      </x:c>
      <x:c r="I10" s="12" t="str">
        <x:v>Đã kiểm tra tìm kiếm khóa học trên UI local và có ảnh minh chứng.</x:v>
      </x:c>
    </x:row>
    <x:row r="11" ht="15" hidden="0" customHeight="1">
      <x:c r="A11" s="12" t="str">
        <x:v>REQ-CRS-002</x:v>
      </x:c>
      <x:c r="B11" s="12" t="str">
        <x:v>Xem chi tiết khóa học</x:v>
      </x:c>
      <x:c r="C11" s="12" t="str">
        <x:v>Search &amp; Course</x:v>
      </x:c>
      <x:c r="D11" s="12" t="str">
        <x:v>Guest/Student</x:v>
      </x:c>
      <x:c r="E11" s="12" t="str">
        <x:v>/courses/:id</x:v>
      </x:c>
      <x:c r="F11" s="12" t="str">
        <x:v>Có</x:v>
      </x:c>
      <x:c r="G11" s="12" t="str">
        <x:v>Có</x:v>
      </x:c>
      <x:c r="H11" s="12" t="str">
        <x:v>PASSED</x:v>
      </x:c>
      <x:c r="I11" s="12" t="str">
        <x:v>Đã kiểm tra trang chi tiết khóa học trên UI local và có ảnh minh chứng.</x:v>
      </x:c>
    </x:row>
    <x:row r="12" ht="26.399999618530273" hidden="0" customHeight="1">
      <x:c r="A12" s="12" t="str">
        <x:v>REQ-CRS-003</x:v>
      </x:c>
      <x:c r="B12" s="12" t="str">
        <x:v>Xem bài học thử</x:v>
      </x:c>
      <x:c r="C12" s="12" t="str">
        <x:v>Search &amp; Course</x:v>
      </x:c>
      <x:c r="D12" s="12" t="str">
        <x:v>Guest</x:v>
      </x:c>
      <x:c r="E12" s="12" t="str">
        <x:v>/courses/:id (tab Nội dung học)</x:v>
      </x:c>
      <x:c r="F12" s="12" t="str">
        <x:v>Có</x:v>
      </x:c>
      <x:c r="G12" s="12" t="str">
        <x:v>Không</x:v>
      </x:c>
      <x:c r="H12" s="12" t="str">
        <x:v>BLOCKED</x:v>
      </x:c>
      <x:c r="I12" s="12" t="str">
        <x:v>Mục lục hiển thị nhưng dữ liệu hiện tại không có bài học miễn phí; khóa học yêu cầu mua.</x:v>
      </x:c>
    </x:row>
    <x:row r="13" ht="26.399999618530273" hidden="0" customHeight="1">
      <x:c r="A13" s="12" t="str">
        <x:v>REQ-PAY-001</x:v>
      </x:c>
      <x:c r="B13" s="12" t="str">
        <x:v>Mua khóa học</x:v>
      </x:c>
      <x:c r="C13" s="12" t="str">
        <x:v>Purchase &amp; Payment</x:v>
      </x:c>
      <x:c r="D13" s="12" t="str">
        <x:v>Student</x:v>
      </x:c>
      <x:c r="E13" s="12" t="str">
        <x:v>/checkout</x:v>
      </x:c>
      <x:c r="F13" s="12" t="str">
        <x:v>Có</x:v>
      </x:c>
      <x:c r="G13" s="12" t="str">
        <x:v>Không</x:v>
      </x:c>
      <x:c r="H13" s="12" t="str">
        <x:v>BLOCKED</x:v>
      </x:c>
      <x:c r="I13" s="12" t="str">
        <x:v>Giỏ hàng của tài khoản Student đang trống; chưa có khóa học được chọn để hoàn tất luồng mua.</x:v>
      </x:c>
    </x:row>
    <x:row r="14" ht="26.399999618530273" hidden="0" customHeight="1">
      <x:c r="A14" s="12" t="str">
        <x:v>REQ-PAY-002</x:v>
      </x:c>
      <x:c r="B14" s="12" t="str">
        <x:v>Thanh toán khóa học</x:v>
      </x:c>
      <x:c r="C14" s="12" t="str">
        <x:v>Purchase &amp; Payment</x:v>
      </x:c>
      <x:c r="D14" s="12" t="str">
        <x:v>Student</x:v>
      </x:c>
      <x:c r="E14" s="12" t="str">
        <x:v>/checkout; /payment-result</x:v>
      </x:c>
      <x:c r="F14" s="12" t="str">
        <x:v>Có</x:v>
      </x:c>
      <x:c r="G14" s="12" t="str">
        <x:v>Không</x:v>
      </x:c>
      <x:c r="H14" s="12" t="str">
        <x:v>BLOCKED</x:v>
      </x:c>
      <x:c r="I14" s="12" t="str">
        <x:v>Không thực hiện thanh toán thật; chưa có đơn hàng hoặc payment-result hợp lệ để kiểm tra.</x:v>
      </x:c>
    </x:row>
    <x:row r="15" ht="26.399999618530273" hidden="0" customHeight="1">
      <x:c r="A15" s="12" t="str">
        <x:v>REQ-PAY-003</x:v>
      </x:c>
      <x:c r="B15" s="12" t="str">
        <x:v>Xem lịch sử mua khóa học</x:v>
      </x:c>
      <x:c r="C15" s="12" t="str">
        <x:v>Purchase &amp; Payment</x:v>
      </x:c>
      <x:c r="D15" s="12" t="str">
        <x:v>Student</x:v>
      </x:c>
      <x:c r="E15" s="12" t="str">
        <x:v>/student/orders</x:v>
      </x:c>
      <x:c r="F15" s="12" t="str">
        <x:v>Có</x:v>
      </x:c>
      <x:c r="G15" s="12" t="str">
        <x:v>Có</x:v>
      </x:c>
      <x:c r="H15" s="12" t="str">
        <x:v>PASSED</x:v>
      </x:c>
      <x:c r="I15" s="12" t="str">
        <x:v>Trang lịch sử mua hàng tải thành công và hiển thị đúng empty state: 0 đơn hàng.</x:v>
      </x:c>
    </x:row>
    <x:row r="16" ht="26.399999618530273" hidden="0" customHeight="1">
      <x:c r="A16" s="12" t="str">
        <x:v>REQ-PAY-004</x:v>
      </x:c>
      <x:c r="B16" s="12" t="str">
        <x:v>Gửi khiếu nại đến Admin</x:v>
      </x:c>
      <x:c r="C16" s="12" t="str">
        <x:v>Purchase &amp; Payment</x:v>
      </x:c>
      <x:c r="D16" s="12" t="str">
        <x:v>Student</x:v>
      </x:c>
      <x:c r="E16" s="12" t="str">
        <x:v>/student/complaints</x:v>
      </x:c>
      <x:c r="F16" s="12" t="str">
        <x:v>Có</x:v>
      </x:c>
      <x:c r="G16" s="12" t="str">
        <x:v>Một phần</x:v>
      </x:c>
      <x:c r="H16" s="12" t="str">
        <x:v>PARTIAL</x:v>
      </x:c>
      <x:c r="I16" s="12" t="str">
        <x:v>Trang Khiếu nại và nút Tạo khiếu nại mới hiển thị; không gửi khiếu nại thử để tránh tạo dữ liệu.</x:v>
      </x:c>
    </x:row>
    <x:row r="17" ht="26.399999618530273" hidden="0" customHeight="1">
      <x:c r="A17" s="12" t="str">
        <x:v>REQ-LRN-001</x:v>
      </x:c>
      <x:c r="B17" s="12" t="str">
        <x:v>Xem danh sách khóa học đã mua</x:v>
      </x:c>
      <x:c r="C17" s="12" t="str">
        <x:v>Learning</x:v>
      </x:c>
      <x:c r="D17" s="12" t="str">
        <x:v>Student</x:v>
      </x:c>
      <x:c r="E17" s="12" t="str">
        <x:v>/student/courses</x:v>
      </x:c>
      <x:c r="F17" s="12" t="str">
        <x:v>Có</x:v>
      </x:c>
      <x:c r="G17" s="12" t="str">
        <x:v>Có</x:v>
      </x:c>
      <x:c r="H17" s="12" t="str">
        <x:v>PASSED</x:v>
      </x:c>
      <x:c r="I17" s="12" t="str">
        <x:v>Trang Khóa học của tôi tải thành công và hiển thị đúng empty state cho tài khoản chưa mua khóa học.</x:v>
      </x:c>
    </x:row>
    <x:row r="18" ht="26.399999618530273" hidden="0" customHeight="1">
      <x:c r="A18" s="12" t="str">
        <x:v>REQ-LRN-002</x:v>
      </x:c>
      <x:c r="B18" s="12" t="str">
        <x:v>Xem bài giảng và tài liệu</x:v>
      </x:c>
      <x:c r="C18" s="12" t="str">
        <x:v>Learning</x:v>
      </x:c>
      <x:c r="D18" s="12" t="str">
        <x:v>Student</x:v>
      </x:c>
      <x:c r="E18" s="12" t="str">
        <x:v>/student/courses/:id</x:v>
      </x:c>
      <x:c r="F18" s="12" t="str">
        <x:v>Có</x:v>
      </x:c>
      <x:c r="G18" s="12" t="str">
        <x:v>Không</x:v>
      </x:c>
      <x:c r="H18" s="12" t="str">
        <x:v>BLOCKED</x:v>
      </x:c>
      <x:c r="I18" s="12" t="str">
        <x:v>Tài khoản Student chưa sở hữu khóa học nên chưa truy cập được bài giảng đã mua.</x:v>
      </x:c>
    </x:row>
    <x:row r="19" ht="15" hidden="0" customHeight="1">
      <x:c r="A19" s="12" t="str">
        <x:v>REQ-LRN-003</x:v>
      </x:c>
      <x:c r="B19" s="12" t="str">
        <x:v>Tải tài liệu học tập</x:v>
      </x:c>
      <x:c r="C19" s="12" t="str">
        <x:v>Learning</x:v>
      </x:c>
      <x:c r="D19" s="12" t="str">
        <x:v>Student</x:v>
      </x:c>
      <x:c r="E19" s="12" t="str">
        <x:v>/student/courses/:id</x:v>
      </x:c>
      <x:c r="F19" s="12" t="str">
        <x:v>Có</x:v>
      </x:c>
      <x:c r="G19" s="12" t="str">
        <x:v>Không</x:v>
      </x:c>
      <x:c r="H19" s="12" t="str">
        <x:v>BLOCKED</x:v>
      </x:c>
      <x:c r="I19" s="12" t="str">
        <x:v>Không có khóa học đã mua và không có tài liệu đủ điều kiện tải.</x:v>
      </x:c>
    </x:row>
    <x:row r="20" ht="15" hidden="0" customHeight="1">
      <x:c r="A20" s="12" t="str">
        <x:v>REQ-LRN-004</x:v>
      </x:c>
      <x:c r="B20" s="12" t="str">
        <x:v>Nộp bài tập</x:v>
      </x:c>
      <x:c r="C20" s="12" t="str">
        <x:v>Learning</x:v>
      </x:c>
      <x:c r="D20" s="12" t="str">
        <x:v>Student</x:v>
      </x:c>
      <x:c r="E20" s="12" t="str">
        <x:v>/student/courses/:id</x:v>
      </x:c>
      <x:c r="F20" s="12" t="str">
        <x:v>Có</x:v>
      </x:c>
      <x:c r="G20" s="12" t="str">
        <x:v>Không</x:v>
      </x:c>
      <x:c r="H20" s="12" t="str">
        <x:v>BLOCKED</x:v>
      </x:c>
      <x:c r="I20" s="12" t="str">
        <x:v>Không có khóa học/bài tập đã mua để nộp bài.</x:v>
      </x:c>
    </x:row>
    <x:row r="21" ht="15" hidden="0" customHeight="1">
      <x:c r="A21" s="12" t="str">
        <x:v>REQ-LRN-005</x:v>
      </x:c>
      <x:c r="B21" s="12" t="str">
        <x:v>Làm bài kiểm tra</x:v>
      </x:c>
      <x:c r="C21" s="12" t="str">
        <x:v>Learning</x:v>
      </x:c>
      <x:c r="D21" s="12" t="str">
        <x:v>Student</x:v>
      </x:c>
      <x:c r="E21" s="12" t="str">
        <x:v>/student/courses/:courseId/exams/:slotIndex</x:v>
      </x:c>
      <x:c r="F21" s="12" t="str">
        <x:v>Có</x:v>
      </x:c>
      <x:c r="G21" s="12" t="str">
        <x:v>Không</x:v>
      </x:c>
      <x:c r="H21" s="12" t="str">
        <x:v>BLOCKED</x:v>
      </x:c>
      <x:c r="I21" s="12" t="str">
        <x:v>Không có khóa học và exam slot hợp lệ cho tài khoản Student.</x:v>
      </x:c>
    </x:row>
    <x:row r="22" ht="15" hidden="0" customHeight="1">
      <x:c r="A22" s="12" t="str">
        <x:v>REQ-LRN-006</x:v>
      </x:c>
      <x:c r="B22" s="12" t="str">
        <x:v>Xem điểm và tiến độ học tập</x:v>
      </x:c>
      <x:c r="C22" s="12" t="str">
        <x:v>Learning</x:v>
      </x:c>
      <x:c r="D22" s="12" t="str">
        <x:v>Student</x:v>
      </x:c>
      <x:c r="E22" s="12" t="str">
        <x:v>/student/progress</x:v>
      </x:c>
      <x:c r="F22" s="12" t="str">
        <x:v>Có</x:v>
      </x:c>
      <x:c r="G22" s="12" t="str">
        <x:v>Không</x:v>
      </x:c>
      <x:c r="H22" s="12" t="str">
        <x:v>BLOCKED</x:v>
      </x:c>
      <x:c r="I22" s="12" t="str">
        <x:v>Không có dữ liệu học tập đã mua để xác minh điểm và tiến độ.</x:v>
      </x:c>
    </x:row>
    <x:row r="23" ht="15" hidden="0" customHeight="1">
      <x:c r="A23" s="12" t="str">
        <x:v>REQ-LRN-007</x:v>
      </x:c>
      <x:c r="B23" s="12" t="str">
        <x:v>Đánh giá khóa học</x:v>
      </x:c>
      <x:c r="C23" s="12" t="str">
        <x:v>Learning</x:v>
      </x:c>
      <x:c r="D23" s="12" t="str">
        <x:v>Student</x:v>
      </x:c>
      <x:c r="E23" s="12" t="str">
        <x:v>/student/courses/:id</x:v>
      </x:c>
      <x:c r="F23" s="12" t="str">
        <x:v>Có</x:v>
      </x:c>
      <x:c r="G23" s="12" t="str">
        <x:v>Không</x:v>
      </x:c>
      <x:c r="H23" s="12" t="str">
        <x:v>BLOCKED</x:v>
      </x:c>
      <x:c r="I23" s="12" t="str">
        <x:v>Không có khóa học đã mua/hoàn thành để đánh giá.</x:v>
      </x:c>
    </x:row>
    <x:row r="24" ht="26.399999618530273" hidden="0" customHeight="1">
      <x:c r="A24" s="12" t="str">
        <x:v>REQ-LRN-008</x:v>
      </x:c>
      <x:c r="B24" s="12" t="str">
        <x:v>Xem và tải chứng chỉ</x:v>
      </x:c>
      <x:c r="C24" s="12" t="str">
        <x:v>Learning</x:v>
      </x:c>
      <x:c r="D24" s="12" t="str">
        <x:v>Student</x:v>
      </x:c>
      <x:c r="E24" s="12" t="str">
        <x:v>/student/certificates</x:v>
      </x:c>
      <x:c r="F24" s="12" t="str">
        <x:v>Có</x:v>
      </x:c>
      <x:c r="G24" s="12" t="str">
        <x:v>Một phần</x:v>
      </x:c>
      <x:c r="H24" s="12" t="str">
        <x:v>PARTIAL</x:v>
      </x:c>
      <x:c r="I24" s="12" t="str">
        <x:v>Trang Chứng chỉ tải thành công và hiển thị điều kiện cấp; tài khoản chưa có chứng chỉ để tải.</x:v>
      </x:c>
    </x:row>
    <x:row r="25" ht="15" hidden="0" customHeight="1">
      <x:c r="A25" s="12" t="str">
        <x:v>REQ-INT-001</x:v>
      </x:c>
      <x:c r="B25" s="12" t="str">
        <x:v>Gửi câu hỏi cho giáo viên</x:v>
      </x:c>
      <x:c r="C25" s="12" t="str">
        <x:v>Interaction &amp; Support</x:v>
      </x:c>
      <x:c r="D25" s="12" t="str">
        <x:v>Student</x:v>
      </x:c>
      <x:c r="E25" s="12" t="str">
        <x:v>/student/qa</x:v>
      </x:c>
      <x:c r="F25" s="12" t="str">
        <x:v>Có</x:v>
      </x:c>
      <x:c r="G25" s="12" t="str">
        <x:v>Một phần</x:v>
      </x:c>
      <x:c r="H25" s="12" t="str">
        <x:v>PARTIAL</x:v>
      </x:c>
      <x:c r="I25" s="12" t="str">
        <x:v>Trang Hỏi &amp; Đáp và nút Đặt câu hỏi hiển thị; chưa gửi câu hỏi thử.</x:v>
      </x:c>
    </x:row>
    <x:row r="26" ht="26.399999618530273" hidden="0" customHeight="1">
      <x:c r="A26" s="12" t="str">
        <x:v>REQ-INT-002</x:v>
      </x:c>
      <x:c r="B26" s="12" t="str">
        <x:v>Chat AI hỗ trợ</x:v>
      </x:c>
      <x:c r="C26" s="12" t="str">
        <x:v>Interaction &amp; Support</x:v>
      </x:c>
      <x:c r="D26" s="12" t="str">
        <x:v>Student</x:v>
      </x:c>
      <x:c r="E26" s="12" t="str">
        <x:v>/student/ai-tutor</x:v>
      </x:c>
      <x:c r="F26" s="12" t="str">
        <x:v>Có</x:v>
      </x:c>
      <x:c r="G26" s="12" t="str">
        <x:v>Một phần</x:v>
      </x:c>
      <x:c r="H26" s="12" t="str">
        <x:v>PARTIAL</x:v>
      </x:c>
      <x:c r="I26" s="12" t="str">
        <x:v>Trang Trợ lý AI và các gợi ý hội thoại hiển thị; không gọi dịch vụ AI ngoài trong phiên kiểm thử.</x:v>
      </x:c>
    </x:row>
    <x:row r="27" ht="15" hidden="0" customHeight="1">
      <x:c r="A27" s="12" t="str">
        <x:v>REQ-INT-003</x:v>
      </x:c>
      <x:c r="B27" s="12" t="str">
        <x:v>Nhận đề xuất lộ trình từ AI</x:v>
      </x:c>
      <x:c r="C27" s="12" t="str">
        <x:v>Interaction &amp; Support</x:v>
      </x:c>
      <x:c r="D27" s="12" t="str">
        <x:v>Student</x:v>
      </x:c>
      <x:c r="E27" s="12" t="str">
        <x:v>/student/ai-tutor</x:v>
      </x:c>
      <x:c r="F27" s="12" t="str">
        <x:v>Có</x:v>
      </x:c>
      <x:c r="G27" s="12" t="str">
        <x:v>Một phần</x:v>
      </x:c>
      <x:c r="H27" s="12" t="str">
        <x:v>PARTIAL</x:v>
      </x:c>
      <x:c r="I27" s="12" t="str">
        <x:v>Tab Lộ trình học hiển thị; không gọi dịch vụ AI ngoài để sinh lộ trình.</x:v>
      </x:c>
    </x:row>
    <x:row r="28" ht="15" hidden="0" customHeight="1">
      <x:c r="A28" s="12" t="str">
        <x:v>REQ-PRN-001</x:v>
      </x:c>
      <x:c r="B28" s="12" t="str">
        <x:v>Theo dõi tiến độ học tập của con</x:v>
      </x:c>
      <x:c r="C28" s="12" t="str">
        <x:v>Parent</x:v>
      </x:c>
      <x:c r="D28" s="12" t="str">
        <x:v>Parent</x:v>
      </x:c>
      <x:c r="E28" s="12" t="str">
        <x:v>/parent/progress</x:v>
      </x:c>
      <x:c r="F28" s="12" t="str">
        <x:v>Có</x:v>
      </x:c>
      <x:c r="G28" s="12" t="str">
        <x:v>Không</x:v>
      </x:c>
      <x:c r="H28" s="12" t="str">
        <x:v>BLOCKED</x:v>
      </x:c>
      <x:c r="I28" s="12" t="str">
        <x:v>Trang tiến độ mở được nhưng tài khoản Parent chưa liên kết học sinh.</x:v>
      </x:c>
    </x:row>
    <x:row r="29" ht="15" hidden="0" customHeight="1">
      <x:c r="A29" s="12" t="str">
        <x:v>REQ-PRN-002</x:v>
      </x:c>
      <x:c r="B29" s="12" t="str">
        <x:v>Liên hệ và nhận thông báo từ giáo viên</x:v>
      </x:c>
      <x:c r="C29" s="12" t="str">
        <x:v>Parent</x:v>
      </x:c>
      <x:c r="D29" s="12" t="str">
        <x:v>Parent</x:v>
      </x:c>
      <x:c r="E29" s="12" t="str">
        <x:v>/parent/messages</x:v>
      </x:c>
      <x:c r="F29" s="12" t="str">
        <x:v>Có</x:v>
      </x:c>
      <x:c r="G29" s="12" t="str">
        <x:v>Không</x:v>
      </x:c>
      <x:c r="H29" s="12" t="str">
        <x:v>BLOCKED</x:v>
      </x:c>
      <x:c r="I29" s="12" t="str">
        <x:v>Trang tin nhắn mở được nhưng tài khoản Parent chưa liên kết học sinh.</x:v>
      </x:c>
    </x:row>
    <x:row r="30" ht="26.399999618530273" hidden="0" customHeight="1">
      <x:c r="A30" s="12" t="str">
        <x:v>REQ-PRN-003</x:v>
      </x:c>
      <x:c r="B30" s="12" t="str">
        <x:v>Xem lịch sử thanh toán khóa học</x:v>
      </x:c>
      <x:c r="C30" s="12" t="str">
        <x:v>Parent</x:v>
      </x:c>
      <x:c r="D30" s="12" t="str">
        <x:v>Parent</x:v>
      </x:c>
      <x:c r="E30" s="12" t="str">
        <x:v>/parent/payments</x:v>
      </x:c>
      <x:c r="F30" s="12" t="str">
        <x:v>Có</x:v>
      </x:c>
      <x:c r="G30" s="12" t="str">
        <x:v>Không</x:v>
      </x:c>
      <x:c r="H30" s="12" t="str">
        <x:v>BLOCKED</x:v>
      </x:c>
      <x:c r="I30" s="12" t="str">
        <x:v>Trang lịch sử thanh toán mở được nhưng chưa có tài khoản con được liên kết.</x:v>
      </x:c>
    </x:row>
    <x:row r="31" ht="26.399999618530273" hidden="0" customHeight="1">
      <x:c r="A31" s="12" t="str">
        <x:v>REQ-PRN-004</x:v>
      </x:c>
      <x:c r="B31" s="12" t="str">
        <x:v>Gửi lời mời liên kết con</x:v>
      </x:c>
      <x:c r="C31" s="12" t="str">
        <x:v>Parent</x:v>
      </x:c>
      <x:c r="D31" s="12" t="str">
        <x:v>Parent</x:v>
      </x:c>
      <x:c r="E31" s="12" t="str">
        <x:v>/parent/link</x:v>
      </x:c>
      <x:c r="F31" s="12" t="str">
        <x:v>Có</x:v>
      </x:c>
      <x:c r="G31" s="12" t="str">
        <x:v>Một phần</x:v>
      </x:c>
      <x:c r="H31" s="12" t="str">
        <x:v>PARTIAL</x:v>
      </x:c>
      <x:c r="I31" s="12" t="str">
        <x:v>Biểu mẫu mời liên kết, lựa chọn quan hệ và nút Gửi lời mời hiển thị; không gửi email thật.</x:v>
      </x:c>
    </x:row>
    <x:row r="32" ht="15" hidden="0" customHeight="1">
      <x:c r="A32" s="12" t="str">
        <x:v>REQ-PRN-005</x:v>
      </x:c>
      <x:c r="B32" s="12" t="str">
        <x:v>Chấp nhận hoặc từ chối liên kết</x:v>
      </x:c>
      <x:c r="C32" s="12" t="str">
        <x:v>Parent</x:v>
      </x:c>
      <x:c r="D32" s="12" t="str">
        <x:v>Student</x:v>
      </x:c>
      <x:c r="E32" s="12" t="str">
        <x:v>/student/account</x:v>
      </x:c>
      <x:c r="F32" s="12" t="str">
        <x:v>Có</x:v>
      </x:c>
      <x:c r="G32" s="12" t="str">
        <x:v>Không</x:v>
      </x:c>
      <x:c r="H32" s="12" t="str">
        <x:v>BLOCKED</x:v>
      </x:c>
      <x:c r="I32" s="12" t="str">
        <x:v>Chưa có lời mời PENDING để Student chấp nhận hoặc từ chối.</x:v>
      </x:c>
    </x:row>
    <x:row r="33" ht="15" hidden="0" customHeight="1">
      <x:c r="A33" s="12" t="str">
        <x:v>REQ-PRN-006</x:v>
      </x:c>
      <x:c r="B33" s="12" t="str">
        <x:v>Hủy liên kết tài khoản</x:v>
      </x:c>
      <x:c r="C33" s="12" t="str">
        <x:v>Parent</x:v>
      </x:c>
      <x:c r="D33" s="12" t="str">
        <x:v>Parent/Student</x:v>
      </x:c>
      <x:c r="E33" s="12" t="str">
        <x:v>/parent/link; /student/account</x:v>
      </x:c>
      <x:c r="F33" s="12" t="str">
        <x:v>Có</x:v>
      </x:c>
      <x:c r="G33" s="12" t="str">
        <x:v>Không</x:v>
      </x:c>
      <x:c r="H33" s="12" t="str">
        <x:v>BLOCKED</x:v>
      </x:c>
      <x:c r="I33" s="12" t="str">
        <x:v>Chưa có liên kết Parent-Student để kiểm tra hủy liên kết.</x:v>
      </x:c>
    </x:row>
    <x:row r="34" ht="26.399999618530273" hidden="0" customHeight="1">
      <x:c r="A34" s="12" t="str">
        <x:v>REQ-TCH-001</x:v>
      </x:c>
      <x:c r="B34" s="12" t="str">
        <x:v>Tạo khóa học mới</x:v>
      </x:c>
      <x:c r="C34" s="12" t="str">
        <x:v>Teacher</x:v>
      </x:c>
      <x:c r="D34" s="12" t="str">
        <x:v>Teacher</x:v>
      </x:c>
      <x:c r="E34" s="12" t="str">
        <x:v>/teacher/courses</x:v>
      </x:c>
      <x:c r="F34" s="12" t="str">
        <x:v>Có</x:v>
      </x:c>
      <x:c r="G34" s="12" t="str">
        <x:v>Một phần</x:v>
      </x:c>
      <x:c r="H34" s="12" t="str">
        <x:v>PARTIAL</x:v>
      </x:c>
      <x:c r="I34" s="12" t="str">
        <x:v>Mở được biểu mẫu Tạo khóa học với đầy đủ trường bắt buộc; không tạo bản ghi thử.</x:v>
      </x:c>
    </x:row>
    <x:row r="35" ht="15" hidden="0" customHeight="1">
      <x:c r="A35" s="12" t="str">
        <x:v>REQ-TCH-002</x:v>
      </x:c>
      <x:c r="B35" s="12" t="str">
        <x:v>Cập nhật bài giảng và tài liệu</x:v>
      </x:c>
      <x:c r="C35" s="12" t="str">
        <x:v>Teacher</x:v>
      </x:c>
      <x:c r="D35" s="12" t="str">
        <x:v>Teacher</x:v>
      </x:c>
      <x:c r="E35" s="12" t="str">
        <x:v>/teacher/content</x:v>
      </x:c>
      <x:c r="F35" s="12" t="str">
        <x:v>Có</x:v>
      </x:c>
      <x:c r="G35" s="12" t="str">
        <x:v>Không</x:v>
      </x:c>
      <x:c r="H35" s="12" t="str">
        <x:v>BLOCKED</x:v>
      </x:c>
      <x:c r="I35" s="12" t="str">
        <x:v>Trang Bài giảng mở được nhưng Teacher hiện có 0 khóa học để cập nhật.</x:v>
      </x:c>
    </x:row>
    <x:row r="36" ht="15" hidden="0" customHeight="1">
      <x:c r="A36" s="12" t="str">
        <x:v>REQ-TCH-003</x:v>
      </x:c>
      <x:c r="B36" s="12" t="str">
        <x:v>Tạo bài kiểm tra</x:v>
      </x:c>
      <x:c r="C36" s="12" t="str">
        <x:v>Teacher</x:v>
      </x:c>
      <x:c r="D36" s="12" t="str">
        <x:v>Teacher</x:v>
      </x:c>
      <x:c r="E36" s="12" t="str">
        <x:v>/teacher/exam</x:v>
      </x:c>
      <x:c r="F36" s="12" t="str">
        <x:v>Có</x:v>
      </x:c>
      <x:c r="G36" s="12" t="str">
        <x:v>Không</x:v>
      </x:c>
      <x:c r="H36" s="12" t="str">
        <x:v>BLOCKED</x:v>
      </x:c>
      <x:c r="I36" s="12" t="str">
        <x:v>Trang Bài kiểm tra mở được nhưng chưa có khóa học/vị trí đề.</x:v>
      </x:c>
    </x:row>
    <x:row r="37" ht="26.399999618530273" hidden="0" customHeight="1">
      <x:c r="A37" s="12" t="str">
        <x:v>REQ-TCH-004</x:v>
      </x:c>
      <x:c r="B37" s="12" t="str">
        <x:v>Tạo question bank</x:v>
      </x:c>
      <x:c r="C37" s="12" t="str">
        <x:v>Teacher</x:v>
      </x:c>
      <x:c r="D37" s="12" t="str">
        <x:v>Teacher</x:v>
      </x:c>
      <x:c r="E37" s="12" t="str">
        <x:v>/teacher/questions</x:v>
      </x:c>
      <x:c r="F37" s="12" t="str">
        <x:v>Có</x:v>
      </x:c>
      <x:c r="G37" s="12" t="str">
        <x:v>Một phần</x:v>
      </x:c>
      <x:c r="H37" s="12" t="str">
        <x:v>PARTIAL</x:v>
      </x:c>
      <x:c r="I37" s="12" t="str">
        <x:v>Trang Ngân hàng câu hỏi và các nút Tạo bank/Import hiển thị; chưa tạo bank thử.</x:v>
      </x:c>
    </x:row>
    <x:row r="38" ht="15" hidden="0" customHeight="1">
      <x:c r="A38" s="12" t="str">
        <x:v>REQ-TCH-005</x:v>
      </x:c>
      <x:c r="B38" s="12" t="str">
        <x:v>Cập nhật question bank</x:v>
      </x:c>
      <x:c r="C38" s="12" t="str">
        <x:v>Teacher</x:v>
      </x:c>
      <x:c r="D38" s="12" t="str">
        <x:v>Teacher</x:v>
      </x:c>
      <x:c r="E38" s="12" t="str">
        <x:v>/teacher/questions</x:v>
      </x:c>
      <x:c r="F38" s="12" t="str">
        <x:v>Có</x:v>
      </x:c>
      <x:c r="G38" s="12" t="str">
        <x:v>Không</x:v>
      </x:c>
      <x:c r="H38" s="12" t="str">
        <x:v>BLOCKED</x:v>
      </x:c>
      <x:c r="I38" s="12" t="str">
        <x:v>Teacher chưa có question bank để cập nhật.</x:v>
      </x:c>
    </x:row>
    <x:row r="39" ht="15" hidden="0" customHeight="1">
      <x:c r="A39" s="12" t="str">
        <x:v>REQ-TCH-006</x:v>
      </x:c>
      <x:c r="B39" s="12" t="str">
        <x:v>Chấm điểm bài tập và câu tự luận</x:v>
      </x:c>
      <x:c r="C39" s="12" t="str">
        <x:v>Teacher</x:v>
      </x:c>
      <x:c r="D39" s="12" t="str">
        <x:v>Teacher</x:v>
      </x:c>
      <x:c r="E39" s="12" t="str">
        <x:v>/teacher/grades</x:v>
      </x:c>
      <x:c r="F39" s="12" t="str">
        <x:v>Có</x:v>
      </x:c>
      <x:c r="G39" s="12" t="str">
        <x:v>Không</x:v>
      </x:c>
      <x:c r="H39" s="12" t="str">
        <x:v>BLOCKED</x:v>
      </x:c>
      <x:c r="I39" s="12" t="str">
        <x:v>Trang Chấm tự luận mở được nhưng có 0 lượt nộp.</x:v>
      </x:c>
    </x:row>
    <x:row r="40" ht="15" hidden="0" customHeight="1">
      <x:c r="A40" s="12" t="str">
        <x:v>REQ-TCH-007</x:v>
      </x:c>
      <x:c r="B40" s="12" t="str">
        <x:v>Trả lời câu hỏi học sinh</x:v>
      </x:c>
      <x:c r="C40" s="12" t="str">
        <x:v>Teacher</x:v>
      </x:c>
      <x:c r="D40" s="12" t="str">
        <x:v>Teacher</x:v>
      </x:c>
      <x:c r="E40" s="12" t="str">
        <x:v>/teacher/qa</x:v>
      </x:c>
      <x:c r="F40" s="12" t="str">
        <x:v>Có</x:v>
      </x:c>
      <x:c r="G40" s="12" t="str">
        <x:v>Không</x:v>
      </x:c>
      <x:c r="H40" s="12" t="str">
        <x:v>BLOCKED</x:v>
      </x:c>
      <x:c r="I40" s="12" t="str">
        <x:v>Trang Hỏi &amp; Đáp mở được nhưng không có câu hỏi để trả lời.</x:v>
      </x:c>
    </x:row>
    <x:row r="41" ht="26.399999618530273" hidden="0" customHeight="1">
      <x:c r="A41" s="12" t="str">
        <x:v>REQ-TCH-008</x:v>
      </x:c>
      <x:c r="B41" s="12" t="str">
        <x:v>Xem lịch sử doanh thu</x:v>
      </x:c>
      <x:c r="C41" s="12" t="str">
        <x:v>Teacher</x:v>
      </x:c>
      <x:c r="D41" s="12" t="str">
        <x:v>Teacher</x:v>
      </x:c>
      <x:c r="E41" s="12" t="str">
        <x:v>/teacher/revenue</x:v>
      </x:c>
      <x:c r="F41" s="12" t="str">
        <x:v>Có</x:v>
      </x:c>
      <x:c r="G41" s="12" t="str">
        <x:v>Có</x:v>
      </x:c>
      <x:c r="H41" s="12" t="str">
        <x:v>PASSED</x:v>
      </x:c>
      <x:c r="I41" s="12" t="str">
        <x:v>Trang Doanh thu tải thành công, hiển thị đúng số liệu 0 và empty state giao dịch.</x:v>
      </x:c>
    </x:row>
    <x:row r="42" ht="26.399999618530273" hidden="0" customHeight="1">
      <x:c r="A42" s="12" t="str">
        <x:v>REQ-ADM-001</x:v>
      </x:c>
      <x:c r="B42" s="12" t="str">
        <x:v>Xem dashboard quản trị</x:v>
      </x:c>
      <x:c r="C42" s="12" t="str">
        <x:v>Admin</x:v>
      </x:c>
      <x:c r="D42" s="12" t="str">
        <x:v>Admin</x:v>
      </x:c>
      <x:c r="E42" s="12" t="str">
        <x:v>/admin</x:v>
      </x:c>
      <x:c r="F42" s="12" t="str">
        <x:v>Có</x:v>
      </x:c>
      <x:c r="G42" s="12" t="str">
        <x:v>Có</x:v>
      </x:c>
      <x:c r="H42" s="12" t="str">
        <x:v>PASSED</x:v>
      </x:c>
      <x:c r="I42" s="12" t="str">
        <x:v>Dashboard Admin tải thành công và hiển thị KPI, bảng, biểu đồ/empty state.</x:v>
      </x:c>
    </x:row>
    <x:row r="43" ht="26.399999618530273" hidden="0" customHeight="1">
      <x:c r="A43" s="12" t="str">
        <x:v>REQ-ADM-002</x:v>
      </x:c>
      <x:c r="B43" s="12" t="str">
        <x:v>Xem danh sách tài khoản người dùng</x:v>
      </x:c>
      <x:c r="C43" s="12" t="str">
        <x:v>Admin</x:v>
      </x:c>
      <x:c r="D43" s="12" t="str">
        <x:v>Admin</x:v>
      </x:c>
      <x:c r="E43" s="12" t="str">
        <x:v>/admin/users</x:v>
      </x:c>
      <x:c r="F43" s="12" t="str">
        <x:v>Có</x:v>
      </x:c>
      <x:c r="G43" s="12" t="str">
        <x:v>Có</x:v>
      </x:c>
      <x:c r="H43" s="12" t="str">
        <x:v>PASSED</x:v>
      </x:c>
      <x:c r="I43" s="12" t="str">
        <x:v>Danh sách tài khoản tải thành công, hiển thị người dùng, vai trò và trạng thái.</x:v>
      </x:c>
    </x:row>
    <x:row r="44" ht="26.399999618530273" hidden="0" customHeight="1">
      <x:c r="A44" s="12" t="str">
        <x:v>REQ-ADM-003</x:v>
      </x:c>
      <x:c r="B44" s="12" t="str">
        <x:v>Cập nhật tài khoản người dùng</x:v>
      </x:c>
      <x:c r="C44" s="12" t="str">
        <x:v>Admin</x:v>
      </x:c>
      <x:c r="D44" s="12" t="str">
        <x:v>Admin</x:v>
      </x:c>
      <x:c r="E44" s="12" t="str">
        <x:v>/admin/users</x:v>
      </x:c>
      <x:c r="F44" s="12" t="str">
        <x:v>Có</x:v>
      </x:c>
      <x:c r="G44" s="12" t="str">
        <x:v>Một phần</x:v>
      </x:c>
      <x:c r="H44" s="12" t="str">
        <x:v>PARTIAL</x:v>
      </x:c>
      <x:c r="I44" s="12" t="str">
        <x:v>Các hành động khóa tài khoản/cấp lại mật khẩu hiển thị; không thực thi vì làm thay đổi quyền truy cập.</x:v>
      </x:c>
    </x:row>
    <x:row r="45" ht="15" hidden="0" customHeight="1">
      <x:c r="A45" s="12" t="str">
        <x:v>REQ-ADM-004</x:v>
      </x:c>
      <x:c r="B45" s="12" t="str">
        <x:v>Duyệt khóa học</x:v>
      </x:c>
      <x:c r="C45" s="12" t="str">
        <x:v>Admin</x:v>
      </x:c>
      <x:c r="D45" s="12" t="str">
        <x:v>Admin</x:v>
      </x:c>
      <x:c r="E45" s="12" t="str">
        <x:v>/admin/approvals</x:v>
      </x:c>
      <x:c r="F45" s="12" t="str">
        <x:v>Có</x:v>
      </x:c>
      <x:c r="G45" s="12" t="str">
        <x:v>Một phần</x:v>
      </x:c>
      <x:c r="H45" s="12" t="str">
        <x:v>PARTIAL</x:v>
      </x:c>
      <x:c r="I45" s="12" t="str">
        <x:v>Trang Duyệt khóa học tải thành công nhưng hiện có 0 khóa chờ duyệt.</x:v>
      </x:c>
    </x:row>
    <x:row r="46" ht="26.399999618530273" hidden="0" customHeight="1">
      <x:c r="A46" s="12" t="str">
        <x:v>REQ-ADM-005</x:v>
      </x:c>
      <x:c r="B46" s="12" t="str">
        <x:v>Xử lý khiếu nại từ người dùng</x:v>
      </x:c>
      <x:c r="C46" s="12" t="str">
        <x:v>Admin</x:v>
      </x:c>
      <x:c r="D46" s="12" t="str">
        <x:v>Admin</x:v>
      </x:c>
      <x:c r="E46" s="12" t="str">
        <x:v>/admin/complaints</x:v>
      </x:c>
      <x:c r="F46" s="12" t="str">
        <x:v>Có</x:v>
      </x:c>
      <x:c r="G46" s="12" t="str">
        <x:v>Một phần</x:v>
      </x:c>
      <x:c r="H46" s="12" t="str">
        <x:v>PARTIAL</x:v>
      </x:c>
      <x:c r="I46" s="12" t="str">
        <x:v>Trang Xử lý khiếu nại tải thành công nhưng không có khiếu nại thử để xử lý.</x:v>
      </x:c>
    </x:row>
    <x:row r="47" ht="26.399999618530273" hidden="0" customHeight="1">
      <x:c r="A47" s="12" t="str">
        <x:v>REQ-ADM-006</x:v>
      </x:c>
      <x:c r="B47" s="12" t="str">
        <x:v>Xuất danh sách chi trả và xác nhận chuyển khoản giáo viên</x:v>
      </x:c>
      <x:c r="C47" s="12" t="str">
        <x:v>Admin</x:v>
      </x:c>
      <x:c r="D47" s="12" t="str">
        <x:v>Admin</x:v>
      </x:c>
      <x:c r="E47" s="12" t="str">
        <x:v>/admin/payouts</x:v>
      </x:c>
      <x:c r="F47" s="12" t="str">
        <x:v>Có</x:v>
      </x:c>
      <x:c r="G47" s="12" t="str">
        <x:v>Có</x:v>
      </x:c>
      <x:c r="H47" s="12" t="str">
        <x:v>FAILED</x:v>
      </x:c>
      <x:c r="I47" s="12" t="str">
        <x:v>Trang chi trả hiển thị dữ liệu PENDING; nút Xuất báo cáo Excel không phát sinh file tải xuống trong 10 giây. Không bấm Xác nhận chuyển.</x:v>
      </x:c>
    </x:row>
    <x:row r="48" ht="15" hidden="0" customHeight="1">
      <x:c r="A48" s="12" t="str">
        <x:v>REQ-ADM-007</x:v>
      </x:c>
      <x:c r="B48" s="12" t="str">
        <x:v>Gửi thông báo đến người dùng</x:v>
      </x:c>
      <x:c r="C48" s="12" t="str">
        <x:v>Admin</x:v>
      </x:c>
      <x:c r="D48" s="12" t="str">
        <x:v>Admin</x:v>
      </x:c>
      <x:c r="E48" s="12" t="str">
        <x:v>/admin/notifications</x:v>
      </x:c>
      <x:c r="F48" s="12" t="str">
        <x:v>Có</x:v>
      </x:c>
      <x:c r="G48" s="12" t="str">
        <x:v>Một phần</x:v>
      </x:c>
      <x:c r="H48" s="12" t="str">
        <x:v>PARTIAL</x:v>
      </x:c>
      <x:c r="I48" s="12" t="str">
        <x:v>Biểu mẫu phát thông báo và lịch sử hiển thị; không gửi thông báo thật.</x:v>
      </x:c>
    </x:row>
  </x:sheetData>
  <x:mergeCells>
    <x:mergeCell ref="A1:I1"/>
  </x:mergeCells>
  <x:conditionalFormatting sqref="H5:H48">
    <x:cfRule type="expression" dxfId="0" priority="1">
      <x:formula>H5="PASSED"</x:formula>
    </x:cfRule>
    <x:cfRule type="expression" dxfId="1" priority="2">
      <x:formula>H5="PARTIAL"</x:formula>
    </x:cfRule>
    <x:cfRule type="expression" dxfId="2" priority="3">
      <x:formula>H5="BLOCKED"</x:formula>
    </x:cfRule>
    <x:cfRule type="expression" dxfId="3" priority="4">
      <x:formula>H5="FAILED"</x:formula>
    </x:cfRule>
  </x:conditionalFormatting>
  <x:pageMargins left="0.7" right="0.7" top="0.75" bottom="0.75" header="0.3" footer="0.3"/>
</x:worksheet>
</file>